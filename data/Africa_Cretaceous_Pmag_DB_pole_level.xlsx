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FG\Cretaceous_Paleomagnetism_Egypt\"/>
    </mc:Choice>
  </mc:AlternateContent>
  <xr:revisionPtr revIDLastSave="0" documentId="13_ncr:1_{3FEA7B52-CB01-4502-95D4-7B7308C758C7}" xr6:coauthVersionLast="47" xr6:coauthVersionMax="47" xr10:uidLastSave="{00000000-0000-0000-0000-000000000000}"/>
  <bookViews>
    <workbookView xWindow="-108" yWindow="-108" windowWidth="23256" windowHeight="12456" xr2:uid="{DAA7E645-55AD-40DF-BCBC-B239AD174A6D}"/>
  </bookViews>
  <sheets>
    <sheet name="pole_level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24" l="1"/>
  <c r="F6" i="24"/>
</calcChain>
</file>

<file path=xl/sharedStrings.xml><?xml version="1.0" encoding="utf-8"?>
<sst xmlns="http://schemas.openxmlformats.org/spreadsheetml/2006/main" count="90" uniqueCount="63">
  <si>
    <t>K</t>
  </si>
  <si>
    <t>Mostafa et al. (2016)</t>
  </si>
  <si>
    <t>A95</t>
  </si>
  <si>
    <t>Area</t>
  </si>
  <si>
    <t>Baharya</t>
  </si>
  <si>
    <t>Abu Had</t>
  </si>
  <si>
    <t>Shalaten</t>
  </si>
  <si>
    <t>Toshki</t>
  </si>
  <si>
    <t>Abu Simbel</t>
  </si>
  <si>
    <t>Abu Shihat</t>
  </si>
  <si>
    <t>Ressetar et al. (1981)</t>
  </si>
  <si>
    <t>El-Shayeb et al. (2013)</t>
  </si>
  <si>
    <t xml:space="preserve">Schult et al. (1981) </t>
  </si>
  <si>
    <t>El Shazly and Krs (1973)</t>
  </si>
  <si>
    <t>dec</t>
  </si>
  <si>
    <t>inc</t>
  </si>
  <si>
    <t>alpha95</t>
  </si>
  <si>
    <t>Nominal_age (Ma)</t>
  </si>
  <si>
    <t>high_age</t>
  </si>
  <si>
    <t>low_age</t>
  </si>
  <si>
    <t>Awad et al. (2019)</t>
  </si>
  <si>
    <t>Mostafa et al. (2023)</t>
  </si>
  <si>
    <t>Unit</t>
  </si>
  <si>
    <t xml:space="preserve">Nigrub El Fogany ring complex </t>
  </si>
  <si>
    <t>Pole Reference</t>
  </si>
  <si>
    <t>N_sites</t>
  </si>
  <si>
    <t>P_lat</t>
  </si>
  <si>
    <t>P_long</t>
  </si>
  <si>
    <t>S_lat</t>
  </si>
  <si>
    <t>S_long</t>
  </si>
  <si>
    <t>Natash</t>
  </si>
  <si>
    <t>Lotfy (2011)</t>
  </si>
  <si>
    <t>Trachyte/Phonolite Ring Dikes</t>
  </si>
  <si>
    <t>Trachytes</t>
  </si>
  <si>
    <t>Quseir</t>
  </si>
  <si>
    <t>Olivinebasalt</t>
  </si>
  <si>
    <t>Volcanics</t>
  </si>
  <si>
    <t>Sandstone and volcanics</t>
  </si>
  <si>
    <t>Minor intrusions</t>
  </si>
  <si>
    <t xml:space="preserve"> Abu Khrug</t>
  </si>
  <si>
    <t>Nepheline syenite; Essexite gabbro; Trachyte porphyry; Trachyte agglomerate</t>
  </si>
  <si>
    <t xml:space="preserve"> El Kahfa </t>
  </si>
  <si>
    <t>Alkali syenite; Trachyte; Essexite gabbro</t>
  </si>
  <si>
    <t>Nubia S.S.W.Desert,</t>
  </si>
  <si>
    <t>El- Hemaly et al. (2012)</t>
  </si>
  <si>
    <t>El Nuhod</t>
  </si>
  <si>
    <t>trachyte</t>
  </si>
  <si>
    <t>Sandstone</t>
  </si>
  <si>
    <t>Comment</t>
  </si>
  <si>
    <t>mean-direction and Plat and Plong calculated here</t>
  </si>
  <si>
    <t>Mishbeh Ring Complex</t>
  </si>
  <si>
    <t>alkaline syenite / trachyte-rhyolite agglomerates</t>
  </si>
  <si>
    <t>alkaline syenite / nepheline-bearing syenite / dykes and veins</t>
  </si>
  <si>
    <t>Baharya basalt / BH mean</t>
  </si>
  <si>
    <t>Perrin &amp; Saleh (2018)</t>
  </si>
  <si>
    <t>Abu Had basalt / AH mean</t>
  </si>
  <si>
    <t>Shalaten basalt / ST1</t>
  </si>
  <si>
    <t>Shalaten basalt / ST2</t>
  </si>
  <si>
    <t>Toshki basalt / TK mean</t>
  </si>
  <si>
    <t>Abu Simbel basalt / AS mean</t>
  </si>
  <si>
    <t>Wadi Abu Shihat dykes / SH mean</t>
  </si>
  <si>
    <t>Wadi Abu Shihat dyke / SH10</t>
  </si>
  <si>
    <t>field relations only; no isotopic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</si>
</sst>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Normal 2" xfId="1" xr:uid="{2C178508-5F3F-4442-98C6-A2D874A5A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3B22-34BC-464C-8D89-34E3F7C2819D}">
  <dimension ref="A1:Q30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4.4"/>
  <cols>
    <col min="1" max="1" width="14" style="1" customWidth="1"/>
    <col min="2" max="2" width="13" style="1" customWidth="1"/>
    <col min="3" max="4" width="8.88671875" style="2"/>
    <col min="5" max="15" width="8.88671875" style="1"/>
    <col min="16" max="16" width="18.21875" style="1" bestFit="1" customWidth="1"/>
    <col min="17" max="16384" width="8.88671875" style="1"/>
  </cols>
  <sheetData>
    <row r="1" spans="1:17">
      <c r="A1" s="1" t="s">
        <v>3</v>
      </c>
      <c r="B1" s="1" t="s">
        <v>22</v>
      </c>
      <c r="C1" s="2" t="s">
        <v>28</v>
      </c>
      <c r="D1" s="2" t="s">
        <v>29</v>
      </c>
      <c r="E1" s="1" t="s">
        <v>17</v>
      </c>
      <c r="F1" s="1" t="s">
        <v>18</v>
      </c>
      <c r="G1" s="1" t="s">
        <v>19</v>
      </c>
      <c r="H1" s="1" t="s">
        <v>25</v>
      </c>
      <c r="I1" s="1" t="s">
        <v>14</v>
      </c>
      <c r="J1" s="1" t="s">
        <v>15</v>
      </c>
      <c r="K1" s="1" t="s">
        <v>16</v>
      </c>
      <c r="L1" s="1" t="s">
        <v>0</v>
      </c>
      <c r="M1" s="1" t="s">
        <v>26</v>
      </c>
      <c r="N1" s="1" t="s">
        <v>27</v>
      </c>
      <c r="O1" s="1" t="s">
        <v>2</v>
      </c>
      <c r="P1" s="1" t="s">
        <v>24</v>
      </c>
      <c r="Q1" s="1" t="s">
        <v>48</v>
      </c>
    </row>
    <row r="2" spans="1:17">
      <c r="A2" s="1" t="s">
        <v>34</v>
      </c>
      <c r="B2" s="1" t="s">
        <v>33</v>
      </c>
      <c r="C2" s="2">
        <v>26</v>
      </c>
      <c r="D2" s="2">
        <v>34</v>
      </c>
      <c r="E2" s="1">
        <v>77.5</v>
      </c>
      <c r="F2" s="1">
        <v>92</v>
      </c>
      <c r="G2" s="1">
        <v>63</v>
      </c>
      <c r="H2" s="1">
        <v>16</v>
      </c>
      <c r="I2" s="1">
        <v>343.6</v>
      </c>
      <c r="J2" s="1">
        <v>7.9</v>
      </c>
      <c r="K2" s="1">
        <v>3.1</v>
      </c>
      <c r="L2" s="1">
        <v>134.19999999999999</v>
      </c>
      <c r="M2" s="1">
        <v>63.5</v>
      </c>
      <c r="N2" s="1">
        <v>252.3</v>
      </c>
      <c r="O2" s="1">
        <v>2.2000000000000002</v>
      </c>
      <c r="P2" s="1" t="s">
        <v>10</v>
      </c>
    </row>
    <row r="3" spans="1:17">
      <c r="A3" s="1" t="s">
        <v>30</v>
      </c>
      <c r="B3" s="1" t="s">
        <v>32</v>
      </c>
      <c r="C3" s="2">
        <v>24.366667</v>
      </c>
      <c r="D3" s="2">
        <v>34.25</v>
      </c>
      <c r="E3" s="1">
        <v>82</v>
      </c>
      <c r="F3" s="1">
        <v>86</v>
      </c>
      <c r="G3" s="1">
        <v>78</v>
      </c>
      <c r="H3" s="1">
        <v>10</v>
      </c>
      <c r="I3" s="1">
        <v>354.3</v>
      </c>
      <c r="J3" s="1">
        <v>3.5</v>
      </c>
      <c r="K3" s="1">
        <v>6.3</v>
      </c>
      <c r="L3" s="1">
        <v>60</v>
      </c>
      <c r="M3" s="1">
        <v>66.5</v>
      </c>
      <c r="N3" s="1">
        <v>229</v>
      </c>
      <c r="O3" s="1">
        <v>5</v>
      </c>
      <c r="P3" s="1" t="s">
        <v>31</v>
      </c>
    </row>
    <row r="4" spans="1:17">
      <c r="A4" s="1" t="s">
        <v>30</v>
      </c>
      <c r="B4" s="1" t="s">
        <v>35</v>
      </c>
      <c r="C4" s="2">
        <v>24.433333000000001</v>
      </c>
      <c r="D4" s="2">
        <v>34.016666999999998</v>
      </c>
      <c r="E4" s="1">
        <v>104</v>
      </c>
      <c r="F4" s="1">
        <v>111</v>
      </c>
      <c r="G4" s="1">
        <v>97</v>
      </c>
      <c r="H4" s="1">
        <v>12</v>
      </c>
      <c r="I4" s="1">
        <v>340</v>
      </c>
      <c r="J4" s="1">
        <v>10</v>
      </c>
      <c r="K4" s="1">
        <v>6</v>
      </c>
      <c r="L4" s="1">
        <v>54</v>
      </c>
      <c r="M4" s="1">
        <v>55</v>
      </c>
      <c r="N4" s="1">
        <v>250</v>
      </c>
      <c r="O4" s="1">
        <v>5</v>
      </c>
      <c r="P4" s="1" t="s">
        <v>31</v>
      </c>
    </row>
    <row r="5" spans="1:17">
      <c r="A5" s="1" t="s">
        <v>30</v>
      </c>
      <c r="B5" s="1" t="s">
        <v>36</v>
      </c>
      <c r="C5" s="2">
        <v>24.4</v>
      </c>
      <c r="D5" s="2">
        <v>34.25</v>
      </c>
      <c r="E5" s="1">
        <v>93</v>
      </c>
      <c r="F5" s="1">
        <v>100</v>
      </c>
      <c r="G5" s="1">
        <v>86</v>
      </c>
      <c r="H5" s="1">
        <v>15</v>
      </c>
      <c r="I5" s="1">
        <v>345.4</v>
      </c>
      <c r="J5" s="1">
        <v>16.7</v>
      </c>
      <c r="K5" s="1">
        <v>8.5</v>
      </c>
      <c r="L5" s="1">
        <v>21.4</v>
      </c>
      <c r="M5" s="1">
        <v>69.3</v>
      </c>
      <c r="N5" s="1">
        <v>258</v>
      </c>
      <c r="O5" s="1">
        <v>5.8</v>
      </c>
      <c r="P5" s="1" t="s">
        <v>12</v>
      </c>
    </row>
    <row r="6" spans="1:17">
      <c r="A6" s="1" t="s">
        <v>30</v>
      </c>
      <c r="B6" s="1" t="s">
        <v>37</v>
      </c>
      <c r="C6" s="2">
        <v>24.5</v>
      </c>
      <c r="D6" s="2">
        <v>34.17</v>
      </c>
      <c r="E6" s="1">
        <v>85.6</v>
      </c>
      <c r="F6" s="1">
        <f>85.6+4.3</f>
        <v>89.899999999999991</v>
      </c>
      <c r="G6" s="1">
        <f>85.6-4.3</f>
        <v>81.3</v>
      </c>
      <c r="I6" s="1">
        <v>358.35</v>
      </c>
      <c r="J6" s="1">
        <v>-3.84</v>
      </c>
      <c r="K6" s="1">
        <v>5.62</v>
      </c>
      <c r="L6" s="1">
        <v>163</v>
      </c>
      <c r="M6" s="1">
        <v>63.53</v>
      </c>
      <c r="N6" s="1">
        <v>217.9</v>
      </c>
      <c r="O6" s="1">
        <v>4</v>
      </c>
      <c r="P6" s="1" t="s">
        <v>13</v>
      </c>
    </row>
    <row r="7" spans="1:17">
      <c r="A7" s="1" t="s">
        <v>30</v>
      </c>
      <c r="B7" s="1" t="s">
        <v>38</v>
      </c>
      <c r="C7" s="2">
        <v>24.5</v>
      </c>
      <c r="D7" s="2">
        <v>33.5</v>
      </c>
      <c r="E7" s="1">
        <v>82</v>
      </c>
      <c r="F7" s="1">
        <v>86</v>
      </c>
      <c r="G7" s="1">
        <v>78</v>
      </c>
      <c r="H7" s="1">
        <v>5</v>
      </c>
      <c r="I7" s="1">
        <v>356.5</v>
      </c>
      <c r="J7" s="1">
        <v>20.5</v>
      </c>
      <c r="K7" s="1">
        <v>18.100000000000001</v>
      </c>
      <c r="L7" s="1">
        <v>18.100000000000001</v>
      </c>
      <c r="M7" s="1">
        <v>75.7</v>
      </c>
      <c r="N7" s="1">
        <v>227.56</v>
      </c>
      <c r="P7" s="1" t="s">
        <v>10</v>
      </c>
    </row>
    <row r="8" spans="1:17">
      <c r="A8" s="1" t="s">
        <v>39</v>
      </c>
      <c r="B8" s="1" t="s">
        <v>40</v>
      </c>
      <c r="C8" s="2">
        <v>24.666699999999999</v>
      </c>
      <c r="D8" s="2">
        <v>34.2667</v>
      </c>
      <c r="E8" s="1">
        <v>89</v>
      </c>
      <c r="F8" s="1">
        <v>91</v>
      </c>
      <c r="G8" s="1">
        <v>87</v>
      </c>
      <c r="H8" s="1">
        <v>6</v>
      </c>
      <c r="I8" s="1">
        <v>336.1</v>
      </c>
      <c r="J8" s="1">
        <v>8.4</v>
      </c>
      <c r="K8" s="1">
        <v>12.9</v>
      </c>
      <c r="L8" s="1">
        <v>27.8</v>
      </c>
      <c r="M8" s="1">
        <v>59.1</v>
      </c>
      <c r="N8" s="1">
        <v>266</v>
      </c>
      <c r="P8" s="1" t="s">
        <v>10</v>
      </c>
    </row>
    <row r="9" spans="1:17">
      <c r="A9" s="1" t="s">
        <v>41</v>
      </c>
      <c r="B9" s="1" t="s">
        <v>42</v>
      </c>
      <c r="C9" s="2">
        <v>24.1</v>
      </c>
      <c r="D9" s="2">
        <v>34.700000000000003</v>
      </c>
      <c r="E9" s="1">
        <v>86.7</v>
      </c>
      <c r="F9" s="1">
        <v>92</v>
      </c>
      <c r="G9" s="1">
        <v>81.400000000000006</v>
      </c>
      <c r="H9" s="1">
        <v>4</v>
      </c>
      <c r="I9" s="1">
        <v>349.1</v>
      </c>
      <c r="J9" s="1">
        <v>-5.4</v>
      </c>
      <c r="K9" s="1">
        <v>7.5</v>
      </c>
      <c r="L9" s="1">
        <v>147.80000000000001</v>
      </c>
      <c r="M9" s="1">
        <v>61.1</v>
      </c>
      <c r="N9" s="1">
        <v>237.6</v>
      </c>
      <c r="P9" s="1" t="s">
        <v>10</v>
      </c>
    </row>
    <row r="10" spans="1:17">
      <c r="A10" s="1" t="s">
        <v>43</v>
      </c>
      <c r="B10" s="1" t="s">
        <v>47</v>
      </c>
      <c r="C10" s="2">
        <v>24.17</v>
      </c>
      <c r="D10" s="2">
        <v>29.25</v>
      </c>
      <c r="E10" s="1">
        <v>118.5</v>
      </c>
      <c r="F10" s="1">
        <v>124</v>
      </c>
      <c r="G10" s="1">
        <v>113</v>
      </c>
      <c r="H10" s="1">
        <v>11</v>
      </c>
      <c r="I10" s="1">
        <v>347.1</v>
      </c>
      <c r="J10" s="1">
        <v>41.6</v>
      </c>
      <c r="K10" s="1">
        <v>7.8</v>
      </c>
      <c r="M10" s="1">
        <v>78</v>
      </c>
      <c r="N10" s="1">
        <v>294</v>
      </c>
      <c r="P10" s="1" t="s">
        <v>11</v>
      </c>
    </row>
    <row r="11" spans="1:17">
      <c r="A11" s="1" t="s">
        <v>45</v>
      </c>
      <c r="B11" s="1" t="s">
        <v>46</v>
      </c>
      <c r="C11" s="2">
        <v>24.564167000000001</v>
      </c>
      <c r="D11" s="2">
        <v>34.333333000000003</v>
      </c>
      <c r="E11" s="1">
        <v>78</v>
      </c>
      <c r="F11" s="1">
        <v>78</v>
      </c>
      <c r="G11" s="1">
        <v>78</v>
      </c>
      <c r="H11" s="1">
        <v>14</v>
      </c>
      <c r="I11" s="1">
        <v>324</v>
      </c>
      <c r="J11" s="1">
        <v>-18</v>
      </c>
      <c r="K11" s="1">
        <v>10.6</v>
      </c>
      <c r="L11" s="1">
        <v>24</v>
      </c>
      <c r="M11" s="1">
        <v>41</v>
      </c>
      <c r="N11" s="1">
        <v>264</v>
      </c>
      <c r="P11" s="1" t="s">
        <v>44</v>
      </c>
    </row>
    <row r="12" spans="1:17">
      <c r="A12" s="1" t="s">
        <v>43</v>
      </c>
      <c r="B12" s="1" t="s">
        <v>47</v>
      </c>
      <c r="C12" s="2">
        <v>23.25</v>
      </c>
      <c r="D12" s="2">
        <v>32.75</v>
      </c>
      <c r="E12" s="1">
        <v>101</v>
      </c>
      <c r="F12" s="1">
        <v>113</v>
      </c>
      <c r="G12" s="1">
        <v>89</v>
      </c>
      <c r="H12" s="1">
        <v>9</v>
      </c>
      <c r="I12" s="1">
        <v>351.2</v>
      </c>
      <c r="J12" s="1">
        <v>35.200000000000003</v>
      </c>
      <c r="K12" s="1">
        <v>6</v>
      </c>
      <c r="L12" s="1">
        <v>73.900000000000006</v>
      </c>
      <c r="M12" s="1">
        <v>81</v>
      </c>
      <c r="N12" s="1">
        <v>279.39999999999998</v>
      </c>
      <c r="P12" s="1" t="s">
        <v>1</v>
      </c>
      <c r="Q12" s="1" t="s">
        <v>49</v>
      </c>
    </row>
    <row r="13" spans="1:17">
      <c r="A13" s="1" t="s">
        <v>50</v>
      </c>
      <c r="B13" t="s">
        <v>52</v>
      </c>
      <c r="C13" s="2">
        <v>22.4</v>
      </c>
      <c r="D13" s="2">
        <v>34.4</v>
      </c>
      <c r="E13" s="1">
        <v>142</v>
      </c>
      <c r="F13" s="1">
        <v>157</v>
      </c>
      <c r="G13" s="1">
        <v>127</v>
      </c>
      <c r="H13" s="1">
        <v>5</v>
      </c>
      <c r="I13" s="1">
        <v>332</v>
      </c>
      <c r="J13" s="1">
        <v>22</v>
      </c>
      <c r="K13" s="1">
        <v>7.1</v>
      </c>
      <c r="L13" s="1">
        <v>71.400000000000006</v>
      </c>
      <c r="M13" s="1">
        <v>58</v>
      </c>
      <c r="N13" s="1">
        <v>290</v>
      </c>
      <c r="P13" s="1" t="s">
        <v>20</v>
      </c>
    </row>
    <row r="14" spans="1:17">
      <c r="A14" s="1" t="s">
        <v>23</v>
      </c>
      <c r="B14" s="1" t="s">
        <v>51</v>
      </c>
      <c r="C14" s="2">
        <v>22.85</v>
      </c>
      <c r="D14" s="2">
        <v>34.916666999999997</v>
      </c>
      <c r="E14" s="1">
        <v>139</v>
      </c>
      <c r="F14" s="1">
        <v>154</v>
      </c>
      <c r="G14" s="1">
        <v>124</v>
      </c>
      <c r="H14" s="1">
        <v>17</v>
      </c>
      <c r="I14" s="1">
        <v>323</v>
      </c>
      <c r="J14" s="1">
        <v>25</v>
      </c>
      <c r="K14" s="1">
        <v>11.9</v>
      </c>
      <c r="L14" s="1">
        <v>17</v>
      </c>
      <c r="M14" s="1">
        <v>54</v>
      </c>
      <c r="N14" s="1">
        <v>296</v>
      </c>
      <c r="P14" s="1" t="s">
        <v>21</v>
      </c>
    </row>
    <row r="15" spans="1:17">
      <c r="A15" s="1" t="s">
        <v>23</v>
      </c>
      <c r="B15" s="1" t="s">
        <v>51</v>
      </c>
      <c r="C15" s="2">
        <v>23.016667000000002</v>
      </c>
      <c r="D15" s="2">
        <v>35</v>
      </c>
      <c r="E15" s="1">
        <v>140</v>
      </c>
      <c r="F15" s="1">
        <v>155</v>
      </c>
      <c r="G15" s="1">
        <v>125</v>
      </c>
      <c r="H15" s="1">
        <v>23</v>
      </c>
      <c r="I15" s="1">
        <v>318</v>
      </c>
      <c r="J15" s="1">
        <v>25</v>
      </c>
      <c r="K15" s="1">
        <v>8.8000000000000007</v>
      </c>
      <c r="L15" s="1">
        <v>46</v>
      </c>
      <c r="M15" s="1">
        <v>49</v>
      </c>
      <c r="N15" s="1">
        <v>298</v>
      </c>
      <c r="P15" s="1" t="s">
        <v>21</v>
      </c>
    </row>
    <row r="16" spans="1:17">
      <c r="A16" s="1" t="s">
        <v>4</v>
      </c>
      <c r="B16" s="1" t="s">
        <v>53</v>
      </c>
      <c r="C16" s="2">
        <v>28.36</v>
      </c>
      <c r="D16" s="2">
        <v>28.88</v>
      </c>
      <c r="E16" s="1">
        <v>18</v>
      </c>
      <c r="F16" s="1">
        <v>21</v>
      </c>
      <c r="G16" s="1">
        <v>15</v>
      </c>
      <c r="H16" s="1">
        <v>3</v>
      </c>
      <c r="I16" s="1">
        <v>196</v>
      </c>
      <c r="J16" s="1">
        <v>7</v>
      </c>
      <c r="K16" s="1">
        <v>3.8</v>
      </c>
      <c r="L16" s="1">
        <v>75</v>
      </c>
      <c r="M16" s="1">
        <v>54</v>
      </c>
      <c r="N16" s="1">
        <v>180</v>
      </c>
      <c r="O16" s="1">
        <v>3.2</v>
      </c>
      <c r="P16" s="1" t="s">
        <v>54</v>
      </c>
    </row>
    <row r="17" spans="1:17">
      <c r="A17" s="1" t="s">
        <v>5</v>
      </c>
      <c r="B17" s="1" t="s">
        <v>55</v>
      </c>
      <c r="C17" s="2">
        <v>28.03</v>
      </c>
      <c r="D17" s="2">
        <v>32.35</v>
      </c>
      <c r="E17" s="1">
        <v>45</v>
      </c>
      <c r="F17" s="1">
        <v>56</v>
      </c>
      <c r="G17" s="1">
        <v>34</v>
      </c>
      <c r="H17" s="1">
        <v>3</v>
      </c>
      <c r="I17" s="1">
        <v>197</v>
      </c>
      <c r="J17" s="1">
        <v>-27</v>
      </c>
      <c r="K17" s="1">
        <v>3.9</v>
      </c>
      <c r="L17" s="1">
        <v>72</v>
      </c>
      <c r="M17" s="1">
        <v>69</v>
      </c>
      <c r="N17" s="1">
        <v>161</v>
      </c>
      <c r="O17" s="1">
        <v>3.5</v>
      </c>
      <c r="P17" s="1" t="s">
        <v>54</v>
      </c>
    </row>
    <row r="18" spans="1:17">
      <c r="A18" s="1" t="s">
        <v>6</v>
      </c>
      <c r="B18" s="1" t="s">
        <v>56</v>
      </c>
      <c r="C18" s="2">
        <v>23.12</v>
      </c>
      <c r="D18" s="2">
        <v>35.46</v>
      </c>
      <c r="E18" s="1">
        <v>90</v>
      </c>
      <c r="F18" s="1">
        <v>110</v>
      </c>
      <c r="G18" s="1">
        <v>70</v>
      </c>
      <c r="H18" s="1">
        <v>1</v>
      </c>
      <c r="I18" s="1">
        <v>334</v>
      </c>
      <c r="J18" s="1">
        <v>10</v>
      </c>
      <c r="K18" s="1">
        <v>6.1</v>
      </c>
      <c r="L18" s="1">
        <v>83</v>
      </c>
      <c r="M18" s="1">
        <v>59</v>
      </c>
      <c r="N18" s="1">
        <v>273</v>
      </c>
      <c r="O18" s="1">
        <v>4.9000000000000004</v>
      </c>
      <c r="P18" s="1" t="s">
        <v>54</v>
      </c>
      <c r="Q18" t="s">
        <v>62</v>
      </c>
    </row>
    <row r="19" spans="1:17">
      <c r="A19" s="1" t="s">
        <v>6</v>
      </c>
      <c r="B19" s="1" t="s">
        <v>57</v>
      </c>
      <c r="C19" s="2">
        <v>23.12</v>
      </c>
      <c r="D19" s="2">
        <v>35.46</v>
      </c>
      <c r="E19" s="1">
        <v>90</v>
      </c>
      <c r="F19" s="1">
        <v>110</v>
      </c>
      <c r="G19" s="1">
        <v>70</v>
      </c>
      <c r="H19" s="1">
        <v>1</v>
      </c>
      <c r="I19" s="1">
        <v>352</v>
      </c>
      <c r="J19" s="1">
        <v>32</v>
      </c>
      <c r="K19" s="1">
        <v>7.8</v>
      </c>
      <c r="L19" s="1">
        <v>61</v>
      </c>
      <c r="M19" s="1">
        <v>57</v>
      </c>
      <c r="N19" s="1">
        <v>302</v>
      </c>
      <c r="O19" s="1">
        <v>7.2</v>
      </c>
      <c r="P19" s="1" t="s">
        <v>54</v>
      </c>
      <c r="Q19" t="s">
        <v>62</v>
      </c>
    </row>
    <row r="20" spans="1:17">
      <c r="A20" s="1" t="s">
        <v>7</v>
      </c>
      <c r="B20" s="1" t="s">
        <v>58</v>
      </c>
      <c r="C20" s="2">
        <v>22.78</v>
      </c>
      <c r="D20" s="2">
        <v>31.48</v>
      </c>
      <c r="E20" s="1">
        <v>106</v>
      </c>
      <c r="F20" s="1">
        <v>146</v>
      </c>
      <c r="G20" s="1">
        <v>66</v>
      </c>
      <c r="H20" s="1">
        <v>3</v>
      </c>
      <c r="I20" s="1">
        <v>344</v>
      </c>
      <c r="J20" s="1">
        <v>5</v>
      </c>
      <c r="K20" s="1">
        <v>3.1</v>
      </c>
      <c r="L20" s="1">
        <v>79</v>
      </c>
      <c r="M20" s="1">
        <v>64</v>
      </c>
      <c r="N20" s="1">
        <v>252</v>
      </c>
      <c r="O20" s="1">
        <v>2.5</v>
      </c>
      <c r="P20" s="1" t="s">
        <v>54</v>
      </c>
      <c r="Q20" t="s">
        <v>62</v>
      </c>
    </row>
    <row r="21" spans="1:17">
      <c r="A21" s="1" t="s">
        <v>8</v>
      </c>
      <c r="B21" s="1" t="s">
        <v>59</v>
      </c>
      <c r="C21" s="2">
        <v>22.43</v>
      </c>
      <c r="D21" s="2">
        <v>31.21</v>
      </c>
      <c r="E21" s="1">
        <v>106</v>
      </c>
      <c r="F21" s="1">
        <v>146</v>
      </c>
      <c r="G21" s="1">
        <v>66</v>
      </c>
      <c r="H21" s="1">
        <v>3</v>
      </c>
      <c r="I21" s="1">
        <v>340</v>
      </c>
      <c r="J21" s="1">
        <v>4</v>
      </c>
      <c r="K21" s="1">
        <v>10.199999999999999</v>
      </c>
      <c r="L21" s="1">
        <v>8</v>
      </c>
      <c r="M21" s="1">
        <v>62</v>
      </c>
      <c r="N21" s="1">
        <v>258</v>
      </c>
      <c r="O21" s="1">
        <v>7</v>
      </c>
      <c r="P21" s="1" t="s">
        <v>54</v>
      </c>
      <c r="Q21" t="s">
        <v>62</v>
      </c>
    </row>
    <row r="22" spans="1:17">
      <c r="A22" s="1" t="s">
        <v>9</v>
      </c>
      <c r="B22" s="1" t="s">
        <v>60</v>
      </c>
      <c r="C22" s="1">
        <v>26.3</v>
      </c>
      <c r="D22" s="1">
        <v>33.200000000000003</v>
      </c>
      <c r="E22" s="1">
        <v>106</v>
      </c>
      <c r="F22" s="1">
        <v>146</v>
      </c>
      <c r="G22" s="1">
        <v>66</v>
      </c>
      <c r="H22" s="1">
        <v>11</v>
      </c>
      <c r="I22" s="1">
        <v>357</v>
      </c>
      <c r="J22" s="1">
        <v>45</v>
      </c>
      <c r="K22" s="1">
        <v>7.5</v>
      </c>
      <c r="L22" s="1">
        <v>38</v>
      </c>
      <c r="M22" s="1">
        <v>87</v>
      </c>
      <c r="N22" s="1">
        <v>323</v>
      </c>
      <c r="O22" s="1">
        <v>7.2</v>
      </c>
      <c r="P22" s="1" t="s">
        <v>54</v>
      </c>
      <c r="Q22" t="s">
        <v>62</v>
      </c>
    </row>
    <row r="23" spans="1:17">
      <c r="A23" s="1" t="s">
        <v>9</v>
      </c>
      <c r="B23" s="1" t="s">
        <v>61</v>
      </c>
      <c r="C23" s="1">
        <v>26.3</v>
      </c>
      <c r="D23" s="1">
        <v>33.200000000000003</v>
      </c>
      <c r="E23" s="1">
        <v>106</v>
      </c>
      <c r="F23" s="1">
        <v>146</v>
      </c>
      <c r="G23" s="1">
        <v>66</v>
      </c>
      <c r="H23" s="1">
        <v>1</v>
      </c>
      <c r="I23" s="1">
        <v>316</v>
      </c>
      <c r="J23" s="1">
        <v>27</v>
      </c>
      <c r="K23" s="1">
        <v>6.6</v>
      </c>
      <c r="L23" s="1">
        <v>105</v>
      </c>
      <c r="M23" s="1">
        <v>48</v>
      </c>
      <c r="N23" s="1">
        <v>295</v>
      </c>
      <c r="O23" s="1">
        <v>4.9000000000000004</v>
      </c>
      <c r="P23" s="1" t="s">
        <v>54</v>
      </c>
      <c r="Q23" t="s">
        <v>62</v>
      </c>
    </row>
    <row r="24" spans="1:17">
      <c r="C24" s="1"/>
      <c r="D24" s="1"/>
    </row>
    <row r="25" spans="1:17">
      <c r="C25" s="1"/>
      <c r="D25" s="1"/>
    </row>
    <row r="26" spans="1:17">
      <c r="C26" s="1"/>
      <c r="D26" s="1"/>
    </row>
    <row r="27" spans="1:17">
      <c r="C27" s="1"/>
      <c r="D27" s="1"/>
    </row>
    <row r="28" spans="1:17">
      <c r="C28" s="1"/>
      <c r="D28" s="1"/>
    </row>
    <row r="29" spans="1:17">
      <c r="C29" s="1"/>
      <c r="D29" s="1"/>
    </row>
    <row r="30" spans="1:17">
      <c r="C30" s="1"/>
      <c r="D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ADE9B-8269-4F9E-9C6B-6316B2D41D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Ahmed N M</dc:creator>
  <cp:lastModifiedBy>Ahmed, Ahmed N M</cp:lastModifiedBy>
  <dcterms:created xsi:type="dcterms:W3CDTF">2026-06-23T09:09:55Z</dcterms:created>
  <dcterms:modified xsi:type="dcterms:W3CDTF">2026-06-27T22:06:49Z</dcterms:modified>
</cp:coreProperties>
</file>